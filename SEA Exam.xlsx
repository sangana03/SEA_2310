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4"/>
    <sheet state="visible" name="GradeMap" sheetId="2" r:id="rId5"/>
  </sheets>
  <definedNames/>
  <calcPr/>
</workbook>
</file>

<file path=xl/sharedStrings.xml><?xml version="1.0" encoding="utf-8"?>
<sst xmlns="http://schemas.openxmlformats.org/spreadsheetml/2006/main" count="30" uniqueCount="29">
  <si>
    <t>Subject</t>
  </si>
  <si>
    <t>ISA_Marks</t>
  </si>
  <si>
    <t>ISA_Max</t>
  </si>
  <si>
    <t>ISA_Percentage</t>
  </si>
  <si>
    <t>Predicted_SEA_Marks</t>
  </si>
  <si>
    <t>SEA_Max</t>
  </si>
  <si>
    <t>SEA_Percentage</t>
  </si>
  <si>
    <t>Final_Percentage</t>
  </si>
  <si>
    <t>Grade</t>
  </si>
  <si>
    <t>Grade_Point</t>
  </si>
  <si>
    <t>IMC-501</t>
  </si>
  <si>
    <t>IMC-502</t>
  </si>
  <si>
    <t>IMC-503</t>
  </si>
  <si>
    <t>IMC-504</t>
  </si>
  <si>
    <t>IMC-505</t>
  </si>
  <si>
    <t>IMC-506</t>
  </si>
  <si>
    <t>MinPercent</t>
  </si>
  <si>
    <t>MaxPercent</t>
  </si>
  <si>
    <t>GradePoint</t>
  </si>
  <si>
    <t>Column 5</t>
  </si>
  <si>
    <t>Column 6</t>
  </si>
  <si>
    <t>O</t>
  </si>
  <si>
    <t>A+</t>
  </si>
  <si>
    <t>A</t>
  </si>
  <si>
    <t>B+</t>
  </si>
  <si>
    <t>B</t>
  </si>
  <si>
    <t>C</t>
  </si>
  <si>
    <t>P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</si>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</sst>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r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5" displayName="Table1" name="Table1" id="1">
  <tableColumns count="10">
    <tableColumn name="Subject" id="1"/>
    <tableColumn name="ISA_Marks" id="2"/>
    <tableColumn name="ISA_Max" id="3"/>
    <tableColumn name="ISA_Percentage" id="4"/>
    <tableColumn name="Predicted_SEA_Marks" id="5"/>
    <tableColumn name="SEA_Max" id="6"/>
    <tableColumn name="SEA_Percentage" id="7"/>
    <tableColumn name="Final_Percentage" id="8"/>
    <tableColumn name="Grade" id="9"/>
    <tableColumn name="Grade_Point" id="10"/>
  </tableColumns>
  <tableStyleInfo name="Marks-style" showColumnStripes="0" showFirstColumn="1" showLastColumn="1" showRowStripes="1"/>
</table>
</file>

<file path=xl/tables/table2.xml><?xml version="1.0" encoding="utf-8"?>
<table xmlns="http://schemas.openxmlformats.org/spreadsheetml/2006/main" ref="A1:F15" displayName="Table2" name="Table2" id="2">
  <tableColumns count="6">
    <tableColumn name="MinPercent" id="1"/>
    <tableColumn name="MaxPercent" id="2"/>
    <tableColumn name="Grade" id="3"/>
    <tableColumn name="GradePoint" id="4"/>
    <tableColumn name="Column 5" id="5"/>
    <tableColumn name="Column 6" id="6"/>
  </tableColumns>
  <tableStyleInfo name="Grade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>
        <v>52.0</v>
      </c>
      <c r="C2" s="3">
        <v>60.0</v>
      </c>
      <c r="D2" s="4">
        <f t="shared" ref="D2:D7" si="1">IF(AND(B2&lt;&gt;"",C2&lt;&gt;""),(B2/C2)*100,"")
</f>
        <v>86.66666667</v>
      </c>
      <c r="E2" s="3">
        <f t="shared" ref="E2:E7" si="2">IF(B2="","",ROUND((B2/C2)*F2,0))
</f>
        <v>35</v>
      </c>
      <c r="F2" s="3">
        <v>40.0</v>
      </c>
      <c r="G2" s="5">
        <f t="shared" ref="G2:G7" si="3">IF(AND(E2&lt;&gt;"",F2&lt;&gt;""),(E2/F2)*100,"")
</f>
        <v>87.5</v>
      </c>
      <c r="H2" s="5">
        <f t="shared" ref="H2:H7" si="4">IF(AND(D2&lt;&gt;"",G2&lt;&gt;""),(D2+G2)/2,IF(D2&lt;&gt;"",D2,IF(G2&lt;&gt;"",G2,"")))
</f>
        <v>87.08333333</v>
      </c>
      <c r="I2" s="5" t="str">
        <f t="array" ref="I2">IF(H2="","",INDEX(GradeMap!$C$2:$C$9, MATCH(1, INDEX((H2&gt;=GradeMap!$A$2:$A$9)*(H2&lt;=GradeMap!$B$2:$B$9),0),0)))
</f>
        <v>O</v>
      </c>
      <c r="J2" s="5">
        <f t="array" ref="J2">IF(H2="","",INDEX(GradeMap!$D$2:$D$9, MATCH(1, INDEX((H2&gt;=GradeMap!$A$2:$A$9)*(H2&lt;=GradeMap!$B$2:$B$9),0),0)))
</f>
        <v>10</v>
      </c>
    </row>
    <row r="3" ht="22.5" customHeight="1">
      <c r="A3" s="3" t="s">
        <v>11</v>
      </c>
      <c r="B3" s="3">
        <v>49.0</v>
      </c>
      <c r="C3" s="3">
        <v>60.0</v>
      </c>
      <c r="D3" s="4">
        <f t="shared" si="1"/>
        <v>81.66666667</v>
      </c>
      <c r="E3" s="3">
        <f t="shared" si="2"/>
        <v>33</v>
      </c>
      <c r="F3" s="3">
        <v>40.0</v>
      </c>
      <c r="G3" s="5">
        <f t="shared" si="3"/>
        <v>82.5</v>
      </c>
      <c r="H3" s="5">
        <f t="shared" si="4"/>
        <v>82.08333333</v>
      </c>
      <c r="I3" s="5" t="str">
        <f t="array" ref="I3">IF(H3="","",INDEX(GradeMap!$C$2:$C$9, MATCH(1, INDEX((H3&gt;=GradeMap!$A$2:$A$9)*(H3&lt;=GradeMap!$B$2:$B$9),0),0)))
</f>
        <v>A+</v>
      </c>
      <c r="J3" s="5">
        <f t="array" ref="J3">IF(H3="","",INDEX(GradeMap!$D$2:$D$9, MATCH(1, INDEX((H3&gt;=GradeMap!$A$2:$A$9)*(H3&lt;=GradeMap!$B$2:$B$9),0),0)))
</f>
        <v>9</v>
      </c>
    </row>
    <row r="4" ht="22.5" customHeight="1">
      <c r="A4" s="3" t="s">
        <v>12</v>
      </c>
      <c r="B4" s="3">
        <v>56.0</v>
      </c>
      <c r="C4" s="3">
        <v>60.0</v>
      </c>
      <c r="D4" s="4">
        <f t="shared" si="1"/>
        <v>93.33333333</v>
      </c>
      <c r="E4" s="3">
        <f t="shared" si="2"/>
        <v>37</v>
      </c>
      <c r="F4" s="3">
        <v>40.0</v>
      </c>
      <c r="G4" s="5">
        <f t="shared" si="3"/>
        <v>92.5</v>
      </c>
      <c r="H4" s="5">
        <f t="shared" si="4"/>
        <v>92.91666667</v>
      </c>
      <c r="I4" s="5" t="str">
        <f t="array" ref="I4">IF(H4="","",INDEX(GradeMap!$C$2:$C$9, MATCH(1, INDEX((H4&gt;=GradeMap!$A$2:$A$9)*(H4&lt;=GradeMap!$B$2:$B$9),0),0)))
</f>
        <v>O</v>
      </c>
      <c r="J4" s="5">
        <f t="array" ref="J4">IF(H4="","",INDEX(GradeMap!$D$2:$D$9, MATCH(1, INDEX((H4&gt;=GradeMap!$A$2:$A$9)*(H4&lt;=GradeMap!$B$2:$B$9),0),0)))
</f>
        <v>10</v>
      </c>
    </row>
    <row r="5" ht="22.5" customHeight="1">
      <c r="A5" s="3" t="s">
        <v>13</v>
      </c>
      <c r="B5" s="3">
        <v>54.0</v>
      </c>
      <c r="C5" s="3">
        <v>60.0</v>
      </c>
      <c r="D5" s="4">
        <f t="shared" si="1"/>
        <v>90</v>
      </c>
      <c r="E5" s="3">
        <f t="shared" si="2"/>
        <v>36</v>
      </c>
      <c r="F5" s="3">
        <v>40.0</v>
      </c>
      <c r="G5" s="5">
        <f t="shared" si="3"/>
        <v>90</v>
      </c>
      <c r="H5" s="5">
        <f t="shared" si="4"/>
        <v>90</v>
      </c>
      <c r="I5" s="5" t="str">
        <f t="array" ref="I5">IF(H5="","",INDEX(GradeMap!$C$2:$C$9, MATCH(1, INDEX((H5&gt;=GradeMap!$A$2:$A$9)*(H5&lt;=GradeMap!$B$2:$B$9),0),0)))
</f>
        <v>O</v>
      </c>
      <c r="J5" s="5">
        <f t="array" ref="J5">IF(H5="","",INDEX(GradeMap!$D$2:$D$9, MATCH(1, INDEX((H5&gt;=GradeMap!$A$2:$A$9)*(H5&lt;=GradeMap!$B$2:$B$9),0),0)))
</f>
        <v>10</v>
      </c>
    </row>
    <row r="6" ht="22.5" customHeight="1">
      <c r="A6" s="3" t="s">
        <v>14</v>
      </c>
      <c r="B6" s="3">
        <v>51.0</v>
      </c>
      <c r="C6" s="3">
        <v>60.0</v>
      </c>
      <c r="D6" s="4">
        <f t="shared" si="1"/>
        <v>85</v>
      </c>
      <c r="E6" s="3">
        <f t="shared" si="2"/>
        <v>34</v>
      </c>
      <c r="F6" s="3">
        <v>40.0</v>
      </c>
      <c r="G6" s="5">
        <f t="shared" si="3"/>
        <v>85</v>
      </c>
      <c r="H6" s="5">
        <f t="shared" si="4"/>
        <v>85</v>
      </c>
      <c r="I6" s="5" t="str">
        <f t="array" ref="I6">IF(H6="","",INDEX(GradeMap!$C$2:$C$9, MATCH(1, INDEX((H6&gt;=GradeMap!$A$2:$A$9)*(H6&lt;=GradeMap!$B$2:$B$9),0),0)))
</f>
        <v>O</v>
      </c>
      <c r="J6" s="5">
        <f t="array" ref="J6">IF(H6="","",INDEX(GradeMap!$D$2:$D$9, MATCH(1, INDEX((H6&gt;=GradeMap!$A$2:$A$9)*(H6&lt;=GradeMap!$B$2:$B$9),0),0)))
</f>
        <v>10</v>
      </c>
    </row>
    <row r="7" ht="22.5" customHeight="1">
      <c r="A7" s="3" t="s">
        <v>15</v>
      </c>
      <c r="B7" s="3">
        <v>35.0</v>
      </c>
      <c r="C7" s="3">
        <v>40.0</v>
      </c>
      <c r="D7" s="4">
        <f t="shared" si="1"/>
        <v>87.5</v>
      </c>
      <c r="E7" s="3">
        <f t="shared" si="2"/>
        <v>18</v>
      </c>
      <c r="F7" s="3">
        <v>20.0</v>
      </c>
      <c r="G7" s="5">
        <f t="shared" si="3"/>
        <v>90</v>
      </c>
      <c r="H7" s="5">
        <f t="shared" si="4"/>
        <v>88.75</v>
      </c>
      <c r="I7" s="5" t="str">
        <f t="array" ref="I7">IF(H7="","",INDEX(GradeMap!$C$2:$C$9, MATCH(1, INDEX((H7&gt;=GradeMap!$A$2:$A$9)*(H7&lt;=GradeMap!$B$2:$B$9),0),0)))
</f>
        <v>O</v>
      </c>
      <c r="J7" s="5">
        <f t="array" ref="J7">IF(H7="","",INDEX(GradeMap!$D$2:$D$9, MATCH(1, INDEX((H7&gt;=GradeMap!$A$2:$A$9)*(H7&lt;=GradeMap!$B$2:$B$9),0),0)))
</f>
        <v>10</v>
      </c>
    </row>
    <row r="8" ht="22.5" customHeight="1">
      <c r="A8" s="4"/>
      <c r="B8" s="4"/>
      <c r="C8" s="4"/>
      <c r="D8" s="4"/>
      <c r="E8" s="4"/>
      <c r="F8" s="4"/>
      <c r="G8" s="5"/>
      <c r="H8" s="5"/>
      <c r="I8" s="5"/>
      <c r="J8" s="5"/>
    </row>
    <row r="9" ht="22.5" customHeight="1">
      <c r="A9" s="4"/>
      <c r="B9" s="4"/>
      <c r="C9" s="4"/>
      <c r="D9" s="4"/>
      <c r="E9" s="4"/>
      <c r="F9" s="4"/>
      <c r="G9" s="5"/>
      <c r="H9" s="5"/>
      <c r="I9" s="5"/>
      <c r="J9" s="5"/>
    </row>
    <row r="10" ht="22.5" customHeight="1">
      <c r="A10" s="4"/>
      <c r="B10" s="4"/>
      <c r="C10" s="4"/>
      <c r="D10" s="4"/>
      <c r="E10" s="4"/>
      <c r="F10" s="4"/>
      <c r="G10" s="5"/>
      <c r="H10" s="5"/>
      <c r="I10" s="5"/>
      <c r="J10" s="5"/>
    </row>
    <row r="11" ht="22.5" customHeight="1">
      <c r="A11" s="4"/>
      <c r="B11" s="4"/>
      <c r="C11" s="4"/>
      <c r="D11" s="4"/>
      <c r="E11" s="4"/>
      <c r="F11" s="4"/>
      <c r="G11" s="5"/>
      <c r="H11" s="5"/>
      <c r="I11" s="5"/>
      <c r="J11" s="5"/>
    </row>
    <row r="12" ht="22.5" customHeight="1">
      <c r="A12" s="4"/>
      <c r="B12" s="4"/>
      <c r="C12" s="4"/>
      <c r="D12" s="4"/>
      <c r="E12" s="4"/>
      <c r="F12" s="4"/>
      <c r="G12" s="5"/>
      <c r="H12" s="5"/>
      <c r="I12" s="5"/>
      <c r="J12" s="5"/>
    </row>
    <row r="13" ht="22.5" customHeight="1">
      <c r="A13" s="4"/>
      <c r="B13" s="4"/>
      <c r="C13" s="4"/>
      <c r="D13" s="4"/>
      <c r="E13" s="4"/>
      <c r="F13" s="4"/>
      <c r="G13" s="5"/>
      <c r="H13" s="5"/>
      <c r="I13" s="5"/>
      <c r="J13" s="5"/>
    </row>
    <row r="14" ht="22.5" customHeight="1">
      <c r="A14" s="4"/>
      <c r="B14" s="4"/>
      <c r="C14" s="4"/>
      <c r="D14" s="4"/>
      <c r="E14" s="4"/>
      <c r="F14" s="4"/>
      <c r="G14" s="5"/>
      <c r="H14" s="5"/>
      <c r="I14" s="5"/>
      <c r="J14" s="5"/>
    </row>
    <row r="15" ht="22.5" customHeight="1">
      <c r="A15" s="4"/>
      <c r="B15" s="4"/>
      <c r="C15" s="4"/>
      <c r="D15" s="4"/>
      <c r="E15" s="4"/>
      <c r="F15" s="4"/>
      <c r="G15" s="5"/>
      <c r="H15" s="5"/>
      <c r="I15" s="5"/>
      <c r="J15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16</v>
      </c>
      <c r="B1" s="1" t="s">
        <v>17</v>
      </c>
      <c r="C1" s="1" t="s">
        <v>8</v>
      </c>
      <c r="D1" s="1" t="s">
        <v>18</v>
      </c>
      <c r="E1" s="1" t="s">
        <v>19</v>
      </c>
      <c r="F1" s="1" t="s">
        <v>20</v>
      </c>
    </row>
    <row r="2" ht="22.5" customHeight="1">
      <c r="A2" s="3">
        <v>85.0</v>
      </c>
      <c r="B2" s="3">
        <v>100.0</v>
      </c>
      <c r="C2" s="3" t="s">
        <v>21</v>
      </c>
      <c r="D2" s="3">
        <v>10.0</v>
      </c>
      <c r="E2" s="4"/>
      <c r="F2" s="4"/>
    </row>
    <row r="3" ht="22.5" customHeight="1">
      <c r="A3" s="3">
        <v>75.0</v>
      </c>
      <c r="B3" s="3">
        <v>84.999</v>
      </c>
      <c r="C3" s="3" t="s">
        <v>22</v>
      </c>
      <c r="D3" s="3">
        <v>9.0</v>
      </c>
      <c r="E3" s="4"/>
      <c r="F3" s="4"/>
    </row>
    <row r="4" ht="22.5" customHeight="1">
      <c r="A4" s="3">
        <v>65.0</v>
      </c>
      <c r="B4" s="3">
        <v>74.999</v>
      </c>
      <c r="C4" s="3" t="s">
        <v>23</v>
      </c>
      <c r="D4" s="3">
        <v>8.0</v>
      </c>
      <c r="E4" s="4"/>
      <c r="F4" s="4"/>
    </row>
    <row r="5" ht="22.5" customHeight="1">
      <c r="A5" s="3">
        <v>55.0</v>
      </c>
      <c r="B5" s="3">
        <v>64.999</v>
      </c>
      <c r="C5" s="3" t="s">
        <v>24</v>
      </c>
      <c r="D5" s="3">
        <v>7.0</v>
      </c>
      <c r="E5" s="4"/>
      <c r="F5" s="4"/>
    </row>
    <row r="6" ht="22.5" customHeight="1">
      <c r="A6" s="3">
        <v>50.0</v>
      </c>
      <c r="B6" s="3">
        <v>54.999</v>
      </c>
      <c r="C6" s="3" t="s">
        <v>25</v>
      </c>
      <c r="D6" s="3">
        <v>6.0</v>
      </c>
      <c r="E6" s="4"/>
      <c r="F6" s="4"/>
    </row>
    <row r="7" ht="22.5" customHeight="1">
      <c r="A7" s="3">
        <v>45.0</v>
      </c>
      <c r="B7" s="3">
        <v>49.999</v>
      </c>
      <c r="C7" s="3" t="s">
        <v>26</v>
      </c>
      <c r="D7" s="3">
        <v>5.0</v>
      </c>
      <c r="E7" s="4"/>
      <c r="F7" s="4"/>
    </row>
    <row r="8" ht="22.5" customHeight="1">
      <c r="A8" s="3">
        <v>40.0</v>
      </c>
      <c r="B8" s="3">
        <v>44.999</v>
      </c>
      <c r="C8" s="3" t="s">
        <v>27</v>
      </c>
      <c r="D8" s="3">
        <v>4.0</v>
      </c>
      <c r="E8" s="4"/>
      <c r="F8" s="4"/>
    </row>
    <row r="9" ht="22.5" customHeight="1">
      <c r="A9" s="3">
        <v>0.0</v>
      </c>
      <c r="B9" s="3">
        <v>39.999</v>
      </c>
      <c r="C9" s="3" t="s">
        <v>28</v>
      </c>
      <c r="D9" s="3">
        <v>0.0</v>
      </c>
      <c r="E9" s="4"/>
      <c r="F9" s="4"/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